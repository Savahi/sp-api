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S\SPIDER\ApbProject\VBA EXCEL\"/>
    </mc:Choice>
  </mc:AlternateContent>
  <bookViews>
    <workbookView xWindow="0" yWindow="0" windowWidth="15855" windowHeight="7395"/>
  </bookViews>
  <sheets>
    <sheet name="Sheet1" sheetId="1" r:id="rId1"/>
  </sheets>
  <functionGroups builtInGroupCount="18"/>
  <calcPr calcId="12451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<sst xmlns="http://schemas.openxmlformats.org/spreadsheetml/2006/main" count="219" uniqueCount="123">
  <si>
    <t>A</t>
  </si>
  <si>
    <t>Грейдер</t>
  </si>
  <si>
    <t>гр</t>
  </si>
  <si>
    <t>16.03.18  08:00</t>
  </si>
  <si>
    <t>28.04.18  18:28</t>
  </si>
  <si>
    <t>Нет</t>
  </si>
  <si>
    <t>B</t>
  </si>
  <si>
    <t>Бульдозер 1</t>
  </si>
  <si>
    <t>бл1</t>
  </si>
  <si>
    <t>19.03.18  13:46</t>
  </si>
  <si>
    <t>28.03.18  12:44</t>
  </si>
  <si>
    <t>06.04.18  13:07</t>
  </si>
  <si>
    <t>16.04.18  12:04</t>
  </si>
  <si>
    <t>O</t>
  </si>
  <si>
    <t>Бульдозер 2</t>
  </si>
  <si>
    <t>бл2</t>
  </si>
  <si>
    <t>C</t>
  </si>
  <si>
    <t>Скрепер</t>
  </si>
  <si>
    <t>ск</t>
  </si>
  <si>
    <t>19.04.18  12:24</t>
  </si>
  <si>
    <t>28.04.18  16:04</t>
  </si>
  <si>
    <t>D</t>
  </si>
  <si>
    <t>Экскаватор 1</t>
  </si>
  <si>
    <t>эк1</t>
  </si>
  <si>
    <t>22.03.18  08:33</t>
  </si>
  <si>
    <t>06.04.18  08:24</t>
  </si>
  <si>
    <t>31.03.18  12:13</t>
  </si>
  <si>
    <t>Q</t>
  </si>
  <si>
    <t>Экскаватор 2</t>
  </si>
  <si>
    <t>эк2</t>
  </si>
  <si>
    <t>E</t>
  </si>
  <si>
    <t>Машинист</t>
  </si>
  <si>
    <t>мш</t>
  </si>
  <si>
    <t>F</t>
  </si>
  <si>
    <t>Рабочие</t>
  </si>
  <si>
    <t>рб</t>
  </si>
  <si>
    <t>03.05.18  16:35</t>
  </si>
  <si>
    <t>G</t>
  </si>
  <si>
    <t>Камаз</t>
  </si>
  <si>
    <t>км</t>
  </si>
  <si>
    <t>H</t>
  </si>
  <si>
    <t>Водитель</t>
  </si>
  <si>
    <t>вд</t>
  </si>
  <si>
    <t>I</t>
  </si>
  <si>
    <t>Субподрядчик</t>
  </si>
  <si>
    <t>сп</t>
  </si>
  <si>
    <t>05.04.18  08:33</t>
  </si>
  <si>
    <t>29.03.18  16:13</t>
  </si>
  <si>
    <t>12.04.18  16:13</t>
  </si>
  <si>
    <t>J</t>
  </si>
  <si>
    <t>Виброкаток</t>
  </si>
  <si>
    <t>вк</t>
  </si>
  <si>
    <t>05.04.18  09:53</t>
  </si>
  <si>
    <t>K</t>
  </si>
  <si>
    <t>Битумовоз</t>
  </si>
  <si>
    <t>бм</t>
  </si>
  <si>
    <t>19.04.18  15:27</t>
  </si>
  <si>
    <t>27.04.18  11:11</t>
  </si>
  <si>
    <t>L</t>
  </si>
  <si>
    <t>Асфальтоукладчик</t>
  </si>
  <si>
    <t>асф</t>
  </si>
  <si>
    <t>23.04.18  09:30</t>
  </si>
  <si>
    <t>27.04.18  13:28</t>
  </si>
  <si>
    <t>23.04.18  14:10</t>
  </si>
  <si>
    <t>M</t>
  </si>
  <si>
    <t>Каток</t>
  </si>
  <si>
    <t>кт</t>
  </si>
  <si>
    <t>N</t>
  </si>
  <si>
    <t>Спецмашина</t>
  </si>
  <si>
    <t>см</t>
  </si>
  <si>
    <t>27.04.18  18:57</t>
  </si>
  <si>
    <t>P</t>
  </si>
  <si>
    <t>Мастер</t>
  </si>
  <si>
    <t>мс</t>
  </si>
  <si>
    <t>Код</t>
  </si>
  <si>
    <t>Название</t>
  </si>
  <si>
    <t>Тип</t>
  </si>
  <si>
    <t>Количество</t>
  </si>
  <si>
    <t>Количество [План]</t>
  </si>
  <si>
    <t>Календарь</t>
  </si>
  <si>
    <t>Общая стоимость [План]</t>
  </si>
  <si>
    <t>Общая стоимость [Факт]</t>
  </si>
  <si>
    <t>Общая стоимость [Итог]</t>
  </si>
  <si>
    <t>Длительность, Часы [План]</t>
  </si>
  <si>
    <t>Длительность, Дни [План]</t>
  </si>
  <si>
    <t>Количество дней работы [План]</t>
  </si>
  <si>
    <t>Объём [План]</t>
  </si>
  <si>
    <t>Объём [Факт]</t>
  </si>
  <si>
    <t>Объём [Итог]</t>
  </si>
  <si>
    <t>Длительность, Часы [Факт]</t>
  </si>
  <si>
    <t>Длительность, Дни [Факт]</t>
  </si>
  <si>
    <t>Длительность, Часы [Итог]</t>
  </si>
  <si>
    <t>Длительность, Дни [Итог]</t>
  </si>
  <si>
    <t>Начало</t>
  </si>
  <si>
    <t>Окончание</t>
  </si>
  <si>
    <t>Резерв полный, Дни</t>
  </si>
  <si>
    <t>Резерв полный, Часы</t>
  </si>
  <si>
    <t>Начало [КМР]</t>
  </si>
  <si>
    <t>Окончание [КМР]</t>
  </si>
  <si>
    <t>Начало [КМП]</t>
  </si>
  <si>
    <t>Окончание [КМП]</t>
  </si>
  <si>
    <t>Начало [Факт]</t>
  </si>
  <si>
    <t>Окончание [Факт]</t>
  </si>
  <si>
    <t>Трудоёмкость [План]</t>
  </si>
  <si>
    <t>Трудоёмкость [Факт]</t>
  </si>
  <si>
    <t>Трудоёмкость [Итог]</t>
  </si>
  <si>
    <t>Отправлять уведомления</t>
  </si>
  <si>
    <t>E-mail адрес</t>
  </si>
  <si>
    <t>Ст. материалов [В час]</t>
  </si>
  <si>
    <t>ГСМ [В час]</t>
  </si>
  <si>
    <t>Битум [В час]</t>
  </si>
  <si>
    <t>Щебень [В час]</t>
  </si>
  <si>
    <t>Песок [В час]</t>
  </si>
  <si>
    <t>Асфальт [В час]</t>
  </si>
  <si>
    <t>Краска [В час]</t>
  </si>
  <si>
    <t>Металл [В час]</t>
  </si>
  <si>
    <t>Знак [В час]</t>
  </si>
  <si>
    <t>Ст. механизмов [В час]</t>
  </si>
  <si>
    <t>ФОТ [В час]</t>
  </si>
  <si>
    <t>Накладные расходы [В час]</t>
  </si>
  <si>
    <t>Содержание [В час]</t>
  </si>
  <si>
    <t>Контрактная стоимость [В час]</t>
  </si>
  <si>
    <t>Субподряд [В час]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</si>
</sst>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\ h:mm;@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22" fontId="0" fillId="0" borderId="0" xfId="0" applyNumberFormat="1"/>
    <xf numFmtId="2" fontId="0" fillId="0" borderId="0" xfId="0" applyNumberFormat="1"/>
    <xf numFmtId="0" fontId="0" fillId="0" borderId="0" xfId="0" applyAlignment="1">
      <alignment horizontal="righ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Sheet1!$D$7</c:f>
              <c:strCache>
                <c:ptCount val="1"/>
                <c:pt idx="0">
                  <c:v>Количество</c:v>
                </c:pt>
              </c:strCache>
            </c:strRef>
          </c:tx>
          <c:val>
            <c:numRef>
              <c:f>Sheet1!$D$8:$D$24</c:f>
              <c:numCache>
                <c:formatCode>0.00</c:formatCode>
                <c:ptCount val="17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</c:v>
                </c:pt>
                <c:pt idx="11">
                  <c:v>2</c:v>
                </c:pt>
                <c:pt idx="12" formatCode="General">
                  <c:v>1</c:v>
                </c:pt>
                <c:pt idx="13" formatCode="General">
                  <c:v>1</c:v>
                </c:pt>
                <c:pt idx="14" formatCode="General">
                  <c:v>2</c:v>
                </c:pt>
                <c:pt idx="15" formatCode="General">
                  <c:v>1</c:v>
                </c:pt>
                <c:pt idx="16" formatCode="General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Sheet1!$E$7</c:f>
              <c:strCache>
                <c:ptCount val="1"/>
                <c:pt idx="0">
                  <c:v>Количество [План]</c:v>
                </c:pt>
              </c:strCache>
            </c:strRef>
          </c:tx>
          <c:val>
            <c:numRef>
              <c:f>Sheet1!$E$8:$E$24</c:f>
              <c:numCache>
                <c:formatCode>General</c:formatCode>
                <c:ptCount val="17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8</c:v>
                </c:pt>
                <c:pt idx="7">
                  <c:v>8</c:v>
                </c:pt>
                <c:pt idx="8">
                  <c:v>6</c:v>
                </c:pt>
                <c:pt idx="9">
                  <c:v>6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481000"/>
        <c:axId val="116394408"/>
      </c:lineChart>
      <c:catAx>
        <c:axId val="202481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16394408"/>
        <c:crosses val="autoZero"/>
        <c:auto val="1"/>
        <c:lblAlgn val="ctr"/>
        <c:lblOffset val="100"/>
        <c:noMultiLvlLbl val="0"/>
      </c:catAx>
      <c:valAx>
        <c:axId val="1163944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248100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295275</xdr:colOff>
      <xdr:row>20</xdr:row>
      <xdr:rowOff>9525</xdr:rowOff>
    </xdr:from>
    <xdr:to>
      <xdr:col>18</xdr:col>
      <xdr:colOff>600075</xdr:colOff>
      <xdr:row>34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0</xdr:row>
          <xdr:rowOff>19050</xdr:rowOff>
        </xdr:from>
        <xdr:to>
          <xdr:col>9</xdr:col>
          <xdr:colOff>57150</xdr:colOff>
          <xdr:row>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документ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1</xdr:row>
          <xdr:rowOff>152400</xdr:rowOff>
        </xdr:from>
        <xdr:to>
          <xdr:col>9</xdr:col>
          <xdr:colOff>57150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выделенную область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19050</xdr:rowOff>
        </xdr:from>
        <xdr:to>
          <xdr:col>6</xdr:col>
          <xdr:colOff>381000</xdr:colOff>
          <xdr:row>1</xdr:row>
          <xdr:rowOff>76200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2</xdr:row>
          <xdr:rowOff>0</xdr:rowOff>
        </xdr:from>
        <xdr:to>
          <xdr:col>6</xdr:col>
          <xdr:colOff>381000</xdr:colOff>
          <xdr:row>3</xdr:row>
          <xdr:rowOff>57150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0</xdr:row>
          <xdr:rowOff>19050</xdr:rowOff>
        </xdr:from>
        <xdr:to>
          <xdr:col>1</xdr:col>
          <xdr:colOff>1152525</xdr:colOff>
          <xdr:row>1</xdr:row>
          <xdr:rowOff>0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9525</xdr:rowOff>
        </xdr:from>
        <xdr:to>
          <xdr:col>1</xdr:col>
          <xdr:colOff>1143000</xdr:colOff>
          <xdr:row>2</xdr:row>
          <xdr:rowOff>180975</xdr:rowOff>
        </xdr:to>
        <xdr:sp macro="" textlink="">
          <xdr:nvSpPr>
            <xdr:cNvPr id="1031" name="Label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24"/>
  <sheetViews>
    <sheetView tabSelected="1" workbookViewId="0">
      <selection activeCell="E6" sqref="E6"/>
    </sheetView>
  </sheetViews>
  <sheetFormatPr defaultRowHeight="15" x14ac:dyDescent="0.25"/>
  <cols>
    <col min="1" max="1" width="5.5703125" bestFit="1" customWidth="1"/>
    <col min="2" max="2" width="18.28515625" bestFit="1" customWidth="1"/>
    <col min="3" max="3" width="5.28515625" bestFit="1" customWidth="1"/>
    <col min="4" max="4" width="6.28515625" bestFit="1" customWidth="1"/>
    <col min="5" max="5" width="6.7109375" bestFit="1" customWidth="1"/>
    <col min="6" max="6" width="11" bestFit="1" customWidth="1"/>
    <col min="7" max="7" width="8.28515625" bestFit="1" customWidth="1"/>
    <col min="9" max="9" width="23.28515625" bestFit="1" customWidth="1"/>
    <col min="10" max="10" width="12" bestFit="1" customWidth="1"/>
    <col min="11" max="11" width="8.42578125" bestFit="1" customWidth="1"/>
    <col min="12" max="14" width="12" bestFit="1" customWidth="1"/>
    <col min="15" max="15" width="9.42578125" bestFit="1" customWidth="1"/>
    <col min="16" max="16" width="8.5703125" bestFit="1" customWidth="1"/>
    <col min="17" max="17" width="7.5703125" bestFit="1" customWidth="1"/>
    <col min="18" max="18" width="7.85546875" bestFit="1" customWidth="1"/>
    <col min="19" max="19" width="7.7109375" bestFit="1" customWidth="1"/>
    <col min="20" max="20" width="9" bestFit="1" customWidth="1"/>
    <col min="21" max="22" width="12" bestFit="1" customWidth="1"/>
    <col min="23" max="24" width="13.7109375" bestFit="1" customWidth="1"/>
    <col min="25" max="26" width="12" bestFit="1" customWidth="1"/>
    <col min="27" max="30" width="13.7109375" bestFit="1" customWidth="1"/>
    <col min="31" max="31" width="8.7109375" bestFit="1" customWidth="1"/>
    <col min="32" max="32" width="7.28515625" bestFit="1" customWidth="1"/>
    <col min="33" max="33" width="13.85546875" bestFit="1" customWidth="1"/>
    <col min="34" max="34" width="13.5703125" bestFit="1" customWidth="1"/>
    <col min="35" max="35" width="13.85546875" bestFit="1" customWidth="1"/>
    <col min="36" max="36" width="6.5703125" bestFit="1" customWidth="1"/>
    <col min="37" max="37" width="12" bestFit="1" customWidth="1"/>
    <col min="39" max="46" width="8.7109375" bestFit="1" customWidth="1"/>
    <col min="47" max="47" width="9.28515625" bestFit="1" customWidth="1"/>
    <col min="48" max="48" width="8.85546875" bestFit="1" customWidth="1"/>
    <col min="50" max="50" width="8.85546875" bestFit="1" customWidth="1"/>
    <col min="51" max="51" width="8.7109375" bestFit="1" customWidth="1"/>
    <col min="52" max="52" width="8.140625" bestFit="1" customWidth="1"/>
  </cols>
  <sheetData>
    <row r="1" spans="1:49" x14ac:dyDescent="0.25">
      <c r="A1" s="4"/>
      <c r="B1" s="4"/>
    </row>
    <row r="3" spans="1:49" x14ac:dyDescent="0.25">
      <c r="A3" s="4"/>
      <c r="B3" s="4"/>
    </row>
    <row r="4" spans="1:49" x14ac:dyDescent="0.25">
      <c r="D4" s="1"/>
    </row>
    <row r="5" spans="1:49" x14ac:dyDescent="0.25">
      <c r="B5" s="2"/>
    </row>
    <row r="7" spans="1:49" x14ac:dyDescent="0.25">
      <c r="A7" t="s">
        <v>74</v>
      </c>
      <c r="B7" s="3" t="s">
        <v>75</v>
      </c>
      <c r="C7" t="s">
        <v>76</v>
      </c>
      <c r="D7" s="3" t="s">
        <v>77</v>
      </c>
      <c r="E7" t="s">
        <v>78</v>
      </c>
      <c r="F7" s="3" t="s">
        <v>79</v>
      </c>
      <c r="G7" t="s">
        <v>80</v>
      </c>
      <c r="H7" s="3" t="s">
        <v>81</v>
      </c>
      <c r="I7" t="s">
        <v>82</v>
      </c>
      <c r="J7" s="3" t="s">
        <v>83</v>
      </c>
      <c r="K7" t="s">
        <v>84</v>
      </c>
      <c r="L7" s="3" t="s">
        <v>85</v>
      </c>
      <c r="M7" t="s">
        <v>86</v>
      </c>
      <c r="N7" s="3" t="s">
        <v>87</v>
      </c>
      <c r="O7" t="s">
        <v>88</v>
      </c>
      <c r="P7" s="3" t="s">
        <v>89</v>
      </c>
      <c r="Q7" t="s">
        <v>90</v>
      </c>
      <c r="R7" t="s">
        <v>91</v>
      </c>
      <c r="S7" t="s">
        <v>92</v>
      </c>
      <c r="T7" t="s">
        <v>93</v>
      </c>
      <c r="U7" t="s">
        <v>94</v>
      </c>
      <c r="V7" t="s">
        <v>95</v>
      </c>
      <c r="W7" t="s">
        <v>96</v>
      </c>
      <c r="X7" t="s">
        <v>97</v>
      </c>
      <c r="Y7" t="s">
        <v>98</v>
      </c>
      <c r="Z7" t="s">
        <v>99</v>
      </c>
      <c r="AA7" t="s">
        <v>100</v>
      </c>
      <c r="AB7" t="s">
        <v>101</v>
      </c>
      <c r="AC7" t="s">
        <v>102</v>
      </c>
      <c r="AD7" t="s">
        <v>103</v>
      </c>
      <c r="AE7" t="s">
        <v>104</v>
      </c>
      <c r="AF7" t="s">
        <v>105</v>
      </c>
      <c r="AG7" t="s">
        <v>106</v>
      </c>
      <c r="AH7" t="s">
        <v>107</v>
      </c>
      <c r="AI7" t="s">
        <v>108</v>
      </c>
      <c r="AJ7" t="s">
        <v>109</v>
      </c>
      <c r="AK7" t="s">
        <v>110</v>
      </c>
      <c r="AL7" t="s">
        <v>111</v>
      </c>
      <c r="AM7" t="s">
        <v>112</v>
      </c>
      <c r="AN7" t="s">
        <v>113</v>
      </c>
      <c r="AO7" t="s">
        <v>114</v>
      </c>
      <c r="AP7" t="s">
        <v>115</v>
      </c>
      <c r="AQ7" t="s">
        <v>116</v>
      </c>
      <c r="AR7" t="s">
        <v>117</v>
      </c>
      <c r="AS7" t="s">
        <v>118</v>
      </c>
      <c r="AT7" t="s">
        <v>119</v>
      </c>
      <c r="AU7" t="s">
        <v>120</v>
      </c>
      <c r="AV7" t="s">
        <v>121</v>
      </c>
      <c r="AW7" t="s">
        <v>122</v>
      </c>
    </row>
    <row r="8" spans="1:49" x14ac:dyDescent="0.25">
      <c r="A8" t="s">
        <v>0</v>
      </c>
      <c r="B8" s="3" t="s">
        <v>1</v>
      </c>
      <c r="C8" t="s">
        <v>2</v>
      </c>
      <c r="D8" s="3">
        <v>2</v>
      </c>
      <c r="E8">
        <v>2</v>
      </c>
      <c r="F8" s="3">
        <v>1</v>
      </c>
      <c r="G8">
        <v>1398023.1523333299</v>
      </c>
      <c r="H8" s="3">
        <v>0</v>
      </c>
      <c r="I8">
        <v>1398023.1523333299</v>
      </c>
      <c r="J8" s="3">
        <v>379.555555555556</v>
      </c>
      <c r="K8">
        <v>34.505050505050498</v>
      </c>
      <c r="L8" s="3">
        <v>36</v>
      </c>
      <c r="M8">
        <v>49000</v>
      </c>
      <c r="N8" s="3">
        <v>0</v>
      </c>
      <c r="O8">
        <v>49000</v>
      </c>
      <c r="P8" s="3">
        <v>0</v>
      </c>
      <c r="Q8">
        <v>0</v>
      </c>
      <c r="R8">
        <v>379.555555555556</v>
      </c>
      <c r="S8">
        <v>34.505050505050498</v>
      </c>
      <c r="T8" t="s">
        <v>3</v>
      </c>
      <c r="U8" t="s">
        <v>4</v>
      </c>
      <c r="V8">
        <v>0</v>
      </c>
      <c r="W8">
        <v>0</v>
      </c>
      <c r="X8" t="s">
        <v>3</v>
      </c>
      <c r="Y8" t="s">
        <v>4</v>
      </c>
      <c r="Z8" t="s">
        <v>3</v>
      </c>
      <c r="AA8" t="s">
        <v>4</v>
      </c>
      <c r="AD8">
        <v>647.41277777777805</v>
      </c>
      <c r="AE8">
        <v>0</v>
      </c>
      <c r="AF8">
        <v>647.41277777777805</v>
      </c>
      <c r="AG8" t="s">
        <v>5</v>
      </c>
      <c r="AI8">
        <v>0</v>
      </c>
      <c r="AJ8">
        <v>15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1500</v>
      </c>
      <c r="AS8">
        <v>0</v>
      </c>
      <c r="AT8">
        <v>270</v>
      </c>
      <c r="AU8">
        <v>0</v>
      </c>
      <c r="AV8">
        <v>0</v>
      </c>
      <c r="AW8">
        <v>0</v>
      </c>
    </row>
    <row r="9" spans="1:49" x14ac:dyDescent="0.25">
      <c r="A9" t="s">
        <v>6</v>
      </c>
      <c r="B9" s="3" t="s">
        <v>7</v>
      </c>
      <c r="C9" t="s">
        <v>8</v>
      </c>
      <c r="D9" s="3">
        <v>2</v>
      </c>
      <c r="E9">
        <v>1</v>
      </c>
      <c r="F9" s="3">
        <v>1</v>
      </c>
      <c r="G9">
        <v>199061.20133333301</v>
      </c>
      <c r="H9" s="3">
        <v>0</v>
      </c>
      <c r="I9">
        <v>199061.20133333301</v>
      </c>
      <c r="J9" s="3">
        <v>86.956666666666706</v>
      </c>
      <c r="K9">
        <v>7.9051515151515197</v>
      </c>
      <c r="L9" s="3">
        <v>9</v>
      </c>
      <c r="M9">
        <v>2000</v>
      </c>
      <c r="N9" s="3">
        <v>0</v>
      </c>
      <c r="O9">
        <v>2000</v>
      </c>
      <c r="P9" s="3">
        <v>0</v>
      </c>
      <c r="Q9">
        <v>0</v>
      </c>
      <c r="R9">
        <v>86.956666666666706</v>
      </c>
      <c r="S9">
        <v>7.9051515151515197</v>
      </c>
      <c r="T9" t="s">
        <v>9</v>
      </c>
      <c r="U9" t="s">
        <v>10</v>
      </c>
      <c r="V9">
        <v>15.9403282828283</v>
      </c>
      <c r="W9">
        <v>175.34361111111099</v>
      </c>
      <c r="X9" t="s">
        <v>9</v>
      </c>
      <c r="Y9" t="s">
        <v>10</v>
      </c>
      <c r="Z9" t="s">
        <v>11</v>
      </c>
      <c r="AA9" t="s">
        <v>12</v>
      </c>
      <c r="AD9">
        <v>86.956666666666706</v>
      </c>
      <c r="AE9">
        <v>0</v>
      </c>
      <c r="AF9">
        <v>86.956666666666706</v>
      </c>
      <c r="AG9" t="s">
        <v>5</v>
      </c>
      <c r="AI9">
        <v>0</v>
      </c>
      <c r="AJ9">
        <v>20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1500</v>
      </c>
      <c r="AS9">
        <v>0</v>
      </c>
      <c r="AT9">
        <v>270</v>
      </c>
      <c r="AU9">
        <v>0</v>
      </c>
      <c r="AV9">
        <v>0</v>
      </c>
      <c r="AW9">
        <v>0</v>
      </c>
    </row>
    <row r="10" spans="1:49" x14ac:dyDescent="0.25">
      <c r="A10" t="s">
        <v>13</v>
      </c>
      <c r="B10" s="3" t="s">
        <v>14</v>
      </c>
      <c r="C10" t="s">
        <v>15</v>
      </c>
      <c r="D10" s="3">
        <v>1</v>
      </c>
      <c r="E10">
        <v>1</v>
      </c>
      <c r="F10" s="3">
        <v>1</v>
      </c>
      <c r="G10">
        <v>759596.94222222199</v>
      </c>
      <c r="H10" s="3">
        <v>0</v>
      </c>
      <c r="I10">
        <v>759596.94222222199</v>
      </c>
      <c r="J10" s="3">
        <v>379.555555555556</v>
      </c>
      <c r="K10">
        <v>34.505050505050498</v>
      </c>
      <c r="L10" s="3">
        <v>36</v>
      </c>
      <c r="M10">
        <v>43000</v>
      </c>
      <c r="N10" s="3">
        <v>0</v>
      </c>
      <c r="O10">
        <v>43000</v>
      </c>
      <c r="P10" s="3">
        <v>0</v>
      </c>
      <c r="Q10">
        <v>0</v>
      </c>
      <c r="R10">
        <v>379.555555555556</v>
      </c>
      <c r="S10">
        <v>34.505050505050498</v>
      </c>
      <c r="T10" t="s">
        <v>3</v>
      </c>
      <c r="U10" t="s">
        <v>4</v>
      </c>
      <c r="V10">
        <v>0</v>
      </c>
      <c r="W10">
        <v>0</v>
      </c>
      <c r="X10" t="s">
        <v>3</v>
      </c>
      <c r="Y10" t="s">
        <v>4</v>
      </c>
      <c r="Z10" t="s">
        <v>3</v>
      </c>
      <c r="AA10" t="s">
        <v>4</v>
      </c>
      <c r="AD10">
        <v>379.555555555556</v>
      </c>
      <c r="AE10">
        <v>0</v>
      </c>
      <c r="AF10">
        <v>379.555555555556</v>
      </c>
      <c r="AG10" t="s">
        <v>5</v>
      </c>
      <c r="AI10">
        <v>0</v>
      </c>
      <c r="AJ10">
        <v>18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1300</v>
      </c>
      <c r="AS10">
        <v>0</v>
      </c>
      <c r="AT10">
        <v>234</v>
      </c>
      <c r="AU10">
        <v>0</v>
      </c>
      <c r="AV10">
        <v>0</v>
      </c>
      <c r="AW10">
        <v>0</v>
      </c>
    </row>
    <row r="11" spans="1:49" x14ac:dyDescent="0.25">
      <c r="A11" t="s">
        <v>16</v>
      </c>
      <c r="B11" s="3" t="s">
        <v>17</v>
      </c>
      <c r="C11" t="s">
        <v>18</v>
      </c>
      <c r="D11" s="3">
        <v>2</v>
      </c>
      <c r="E11">
        <v>2</v>
      </c>
      <c r="F11" s="3">
        <v>1</v>
      </c>
      <c r="G11">
        <v>1315063.40311111</v>
      </c>
      <c r="H11" s="3">
        <v>0</v>
      </c>
      <c r="I11">
        <v>1315063.40311111</v>
      </c>
      <c r="J11" s="3">
        <v>323.41277777777799</v>
      </c>
      <c r="K11">
        <v>29.401161616161598</v>
      </c>
      <c r="L11" s="3">
        <v>30</v>
      </c>
      <c r="M11">
        <v>23000</v>
      </c>
      <c r="N11" s="3">
        <v>0</v>
      </c>
      <c r="O11">
        <v>23000</v>
      </c>
      <c r="P11" s="3">
        <v>0</v>
      </c>
      <c r="Q11">
        <v>0</v>
      </c>
      <c r="R11">
        <v>323.41277777777799</v>
      </c>
      <c r="S11">
        <v>29.401161616161598</v>
      </c>
      <c r="T11" t="s">
        <v>3</v>
      </c>
      <c r="U11" t="s">
        <v>19</v>
      </c>
      <c r="V11">
        <v>0</v>
      </c>
      <c r="W11">
        <v>0</v>
      </c>
      <c r="X11" t="s">
        <v>3</v>
      </c>
      <c r="Y11" t="s">
        <v>19</v>
      </c>
      <c r="Z11" t="s">
        <v>3</v>
      </c>
      <c r="AA11" t="s">
        <v>20</v>
      </c>
      <c r="AD11">
        <v>456.74611111111102</v>
      </c>
      <c r="AE11">
        <v>0</v>
      </c>
      <c r="AF11">
        <v>456.74611111111102</v>
      </c>
      <c r="AG11" t="s">
        <v>5</v>
      </c>
      <c r="AI11">
        <v>0</v>
      </c>
      <c r="AJ11">
        <v>20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2000</v>
      </c>
      <c r="AS11">
        <v>0</v>
      </c>
      <c r="AT11">
        <v>360</v>
      </c>
      <c r="AU11">
        <v>0</v>
      </c>
      <c r="AV11">
        <v>0</v>
      </c>
      <c r="AW11">
        <v>0</v>
      </c>
    </row>
    <row r="12" spans="1:49" x14ac:dyDescent="0.25">
      <c r="A12" t="s">
        <v>21</v>
      </c>
      <c r="B12" s="3" t="s">
        <v>22</v>
      </c>
      <c r="C12" t="s">
        <v>23</v>
      </c>
      <c r="D12" s="3">
        <v>2</v>
      </c>
      <c r="E12">
        <v>1</v>
      </c>
      <c r="F12" s="3">
        <v>1</v>
      </c>
      <c r="G12">
        <v>396143.077222222</v>
      </c>
      <c r="H12" s="3">
        <v>0</v>
      </c>
      <c r="I12">
        <v>396143.077222222</v>
      </c>
      <c r="J12" s="3">
        <v>142.85722222222199</v>
      </c>
      <c r="K12">
        <v>12.987020202020201</v>
      </c>
      <c r="L12" s="3">
        <v>14</v>
      </c>
      <c r="M12">
        <v>4000</v>
      </c>
      <c r="N12" s="3">
        <v>0</v>
      </c>
      <c r="O12">
        <v>4000</v>
      </c>
      <c r="P12" s="3">
        <v>0</v>
      </c>
      <c r="Q12">
        <v>0</v>
      </c>
      <c r="R12">
        <v>142.85722222222199</v>
      </c>
      <c r="S12">
        <v>12.987020202020201</v>
      </c>
      <c r="T12" t="s">
        <v>24</v>
      </c>
      <c r="U12" t="s">
        <v>25</v>
      </c>
      <c r="V12">
        <v>8.3332070707070702</v>
      </c>
      <c r="W12">
        <v>91.665277777777803</v>
      </c>
      <c r="X12" s="2" t="s">
        <v>24</v>
      </c>
      <c r="Y12" t="s">
        <v>25</v>
      </c>
      <c r="Z12" t="s">
        <v>26</v>
      </c>
      <c r="AA12" t="s">
        <v>12</v>
      </c>
      <c r="AD12">
        <v>142.85722222222199</v>
      </c>
      <c r="AE12">
        <v>0</v>
      </c>
      <c r="AF12">
        <v>142.85722222222199</v>
      </c>
      <c r="AG12" t="s">
        <v>5</v>
      </c>
      <c r="AI12">
        <v>0</v>
      </c>
      <c r="AJ12">
        <v>25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1800</v>
      </c>
      <c r="AS12">
        <v>0</v>
      </c>
      <c r="AT12">
        <v>324</v>
      </c>
      <c r="AU12">
        <v>0</v>
      </c>
      <c r="AV12">
        <v>0</v>
      </c>
      <c r="AW12">
        <v>0</v>
      </c>
    </row>
    <row r="13" spans="1:49" x14ac:dyDescent="0.25">
      <c r="A13" t="s">
        <v>27</v>
      </c>
      <c r="B13" s="3" t="s">
        <v>28</v>
      </c>
      <c r="C13" t="s">
        <v>29</v>
      </c>
      <c r="D13" s="3">
        <v>1</v>
      </c>
      <c r="E13">
        <v>1</v>
      </c>
      <c r="F13" s="3">
        <v>1</v>
      </c>
      <c r="G13">
        <v>526729.27320000005</v>
      </c>
      <c r="H13" s="3">
        <v>0</v>
      </c>
      <c r="I13">
        <v>526729.27320000005</v>
      </c>
      <c r="J13" s="3">
        <v>211.95666666666699</v>
      </c>
      <c r="K13">
        <v>19.268787878787901</v>
      </c>
      <c r="L13" s="3">
        <v>21</v>
      </c>
      <c r="M13">
        <v>4000</v>
      </c>
      <c r="N13" s="3">
        <v>0</v>
      </c>
      <c r="O13">
        <v>4000</v>
      </c>
      <c r="P13" s="3">
        <v>0</v>
      </c>
      <c r="Q13">
        <v>0</v>
      </c>
      <c r="R13">
        <v>211.95666666666699</v>
      </c>
      <c r="S13">
        <v>19.268787878787901</v>
      </c>
      <c r="T13" t="s">
        <v>9</v>
      </c>
      <c r="U13" t="s">
        <v>19</v>
      </c>
      <c r="V13">
        <v>15.9403282828283</v>
      </c>
      <c r="W13">
        <v>175.34361111111099</v>
      </c>
      <c r="X13" t="s">
        <v>9</v>
      </c>
      <c r="Y13" t="s">
        <v>19</v>
      </c>
      <c r="Z13" t="s">
        <v>11</v>
      </c>
      <c r="AA13" t="s">
        <v>20</v>
      </c>
      <c r="AD13">
        <v>211.95666666666699</v>
      </c>
      <c r="AE13">
        <v>0</v>
      </c>
      <c r="AF13">
        <v>211.95666666666699</v>
      </c>
      <c r="AG13" t="s">
        <v>5</v>
      </c>
      <c r="AI13">
        <v>0</v>
      </c>
      <c r="AJ13">
        <v>23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1600</v>
      </c>
      <c r="AS13">
        <v>0</v>
      </c>
      <c r="AT13">
        <v>288</v>
      </c>
      <c r="AU13">
        <v>0</v>
      </c>
      <c r="AV13">
        <v>0</v>
      </c>
      <c r="AW13">
        <v>0</v>
      </c>
    </row>
    <row r="14" spans="1:49" x14ac:dyDescent="0.25">
      <c r="A14" t="s">
        <v>30</v>
      </c>
      <c r="B14" s="3" t="s">
        <v>31</v>
      </c>
      <c r="C14" t="s">
        <v>32</v>
      </c>
      <c r="D14" s="3">
        <v>12</v>
      </c>
      <c r="E14">
        <v>8</v>
      </c>
      <c r="F14" s="3">
        <v>1</v>
      </c>
      <c r="G14">
        <v>0</v>
      </c>
      <c r="H14" s="3">
        <v>0</v>
      </c>
      <c r="I14">
        <v>0</v>
      </c>
      <c r="J14" s="3">
        <v>417.47805555555601</v>
      </c>
      <c r="K14">
        <v>37.952550505050503</v>
      </c>
      <c r="L14" s="3">
        <v>38</v>
      </c>
      <c r="M14">
        <v>99000</v>
      </c>
      <c r="N14" s="3">
        <v>0</v>
      </c>
      <c r="O14">
        <v>99000</v>
      </c>
      <c r="P14" s="3">
        <v>0</v>
      </c>
      <c r="Q14">
        <v>0</v>
      </c>
      <c r="R14">
        <v>417.47805555555601</v>
      </c>
      <c r="S14">
        <v>37.952550505050503</v>
      </c>
      <c r="T14" t="s">
        <v>3</v>
      </c>
      <c r="U14" t="s">
        <v>4</v>
      </c>
      <c r="V14">
        <v>0</v>
      </c>
      <c r="W14">
        <v>0</v>
      </c>
      <c r="X14" t="s">
        <v>3</v>
      </c>
      <c r="Y14" t="s">
        <v>4</v>
      </c>
      <c r="Z14" t="s">
        <v>3</v>
      </c>
      <c r="AA14" t="s">
        <v>4</v>
      </c>
      <c r="AD14">
        <v>2639.4502777777798</v>
      </c>
      <c r="AE14">
        <v>0</v>
      </c>
      <c r="AF14">
        <v>2639.4502777777798</v>
      </c>
      <c r="AG14" t="s">
        <v>5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</row>
    <row r="15" spans="1:49" x14ac:dyDescent="0.25">
      <c r="A15" t="s">
        <v>33</v>
      </c>
      <c r="B15" s="3" t="s">
        <v>34</v>
      </c>
      <c r="C15" t="s">
        <v>35</v>
      </c>
      <c r="D15" s="3">
        <v>12</v>
      </c>
      <c r="E15">
        <v>8</v>
      </c>
      <c r="F15" s="3">
        <v>1</v>
      </c>
      <c r="G15">
        <v>487391.1825</v>
      </c>
      <c r="H15" s="3">
        <v>0</v>
      </c>
      <c r="I15">
        <v>487391.1825</v>
      </c>
      <c r="J15" s="3">
        <v>423.69805555555598</v>
      </c>
      <c r="K15">
        <v>38.518005050505103</v>
      </c>
      <c r="L15" s="3">
        <v>40</v>
      </c>
      <c r="M15">
        <v>77003</v>
      </c>
      <c r="N15" s="3">
        <v>0</v>
      </c>
      <c r="O15">
        <v>77003</v>
      </c>
      <c r="P15" s="3">
        <v>0</v>
      </c>
      <c r="Q15">
        <v>0</v>
      </c>
      <c r="R15">
        <v>423.69805555555598</v>
      </c>
      <c r="S15">
        <v>38.518005050505103</v>
      </c>
      <c r="T15" t="s">
        <v>3</v>
      </c>
      <c r="U15" t="s">
        <v>36</v>
      </c>
      <c r="V15">
        <v>0</v>
      </c>
      <c r="W15">
        <v>0</v>
      </c>
      <c r="X15" t="s">
        <v>3</v>
      </c>
      <c r="Y15" t="s">
        <v>36</v>
      </c>
      <c r="Z15" t="s">
        <v>3</v>
      </c>
      <c r="AA15" t="s">
        <v>36</v>
      </c>
      <c r="AD15">
        <v>2753.6224999999999</v>
      </c>
      <c r="AE15">
        <v>0</v>
      </c>
      <c r="AF15">
        <v>2753.6224999999999</v>
      </c>
      <c r="AG15" t="s">
        <v>5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150</v>
      </c>
      <c r="AT15">
        <v>27</v>
      </c>
      <c r="AU15">
        <v>0</v>
      </c>
      <c r="AV15">
        <v>0</v>
      </c>
      <c r="AW15">
        <v>0</v>
      </c>
    </row>
    <row r="16" spans="1:49" x14ac:dyDescent="0.25">
      <c r="A16" t="s">
        <v>37</v>
      </c>
      <c r="B16" s="3" t="s">
        <v>38</v>
      </c>
      <c r="C16" t="s">
        <v>39</v>
      </c>
      <c r="D16" s="3">
        <v>12</v>
      </c>
      <c r="E16">
        <v>6</v>
      </c>
      <c r="F16" s="3">
        <v>1</v>
      </c>
      <c r="G16">
        <v>2785554.2166666701</v>
      </c>
      <c r="H16" s="3">
        <v>0</v>
      </c>
      <c r="I16">
        <v>2785554.2166666701</v>
      </c>
      <c r="J16" s="3">
        <v>364.80916666666701</v>
      </c>
      <c r="K16">
        <v>33.164469696969697</v>
      </c>
      <c r="L16" s="3">
        <v>35</v>
      </c>
      <c r="M16">
        <v>58000</v>
      </c>
      <c r="N16" s="3">
        <v>0</v>
      </c>
      <c r="O16">
        <v>58000</v>
      </c>
      <c r="P16" s="3">
        <v>0</v>
      </c>
      <c r="Q16">
        <v>0</v>
      </c>
      <c r="R16">
        <v>364.80916666666701</v>
      </c>
      <c r="S16">
        <v>33.164469696969697</v>
      </c>
      <c r="T16" t="s">
        <v>9</v>
      </c>
      <c r="U16" t="s">
        <v>4</v>
      </c>
      <c r="V16">
        <v>10.8584595959596</v>
      </c>
      <c r="W16">
        <v>119.443055555556</v>
      </c>
      <c r="X16" t="s">
        <v>9</v>
      </c>
      <c r="Y16" t="s">
        <v>4</v>
      </c>
      <c r="Z16" t="s">
        <v>26</v>
      </c>
      <c r="AA16" t="s">
        <v>4</v>
      </c>
      <c r="AD16">
        <v>1774.9166666666699</v>
      </c>
      <c r="AE16">
        <v>0</v>
      </c>
      <c r="AF16">
        <v>1774.9166666666699</v>
      </c>
      <c r="AG16" t="s">
        <v>5</v>
      </c>
      <c r="AI16">
        <v>0</v>
      </c>
      <c r="AJ16">
        <v>15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1000</v>
      </c>
      <c r="AS16">
        <v>0</v>
      </c>
      <c r="AT16">
        <v>180</v>
      </c>
      <c r="AU16">
        <v>0</v>
      </c>
      <c r="AV16">
        <v>0</v>
      </c>
      <c r="AW16">
        <v>0</v>
      </c>
    </row>
    <row r="17" spans="1:49" x14ac:dyDescent="0.25">
      <c r="A17" t="s">
        <v>40</v>
      </c>
      <c r="B17" s="3" t="s">
        <v>41</v>
      </c>
      <c r="C17" t="s">
        <v>42</v>
      </c>
      <c r="D17" s="3">
        <v>12</v>
      </c>
      <c r="E17">
        <v>6</v>
      </c>
      <c r="F17" s="3">
        <v>1</v>
      </c>
      <c r="G17">
        <v>0</v>
      </c>
      <c r="H17" s="3">
        <v>0</v>
      </c>
      <c r="I17">
        <v>0</v>
      </c>
      <c r="J17" s="3">
        <v>395.92027777777798</v>
      </c>
      <c r="K17">
        <v>35.992752525252499</v>
      </c>
      <c r="L17" s="3">
        <v>38</v>
      </c>
      <c r="M17">
        <v>61003</v>
      </c>
      <c r="N17" s="3">
        <v>0</v>
      </c>
      <c r="O17">
        <v>61003</v>
      </c>
      <c r="P17" s="3">
        <v>0</v>
      </c>
      <c r="Q17">
        <v>0</v>
      </c>
      <c r="R17">
        <v>395.92027777777798</v>
      </c>
      <c r="S17">
        <v>35.992752525252499</v>
      </c>
      <c r="T17" t="s">
        <v>9</v>
      </c>
      <c r="U17" t="s">
        <v>36</v>
      </c>
      <c r="V17">
        <v>10.8584595959596</v>
      </c>
      <c r="W17">
        <v>119.443055555556</v>
      </c>
      <c r="X17" t="s">
        <v>9</v>
      </c>
      <c r="Y17" t="s">
        <v>36</v>
      </c>
      <c r="Z17" t="s">
        <v>26</v>
      </c>
      <c r="AA17" t="s">
        <v>36</v>
      </c>
      <c r="AD17">
        <v>1816.55416666667</v>
      </c>
      <c r="AE17">
        <v>0</v>
      </c>
      <c r="AF17">
        <v>1816.55416666667</v>
      </c>
      <c r="AG17" t="s">
        <v>5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</row>
    <row r="18" spans="1:49" x14ac:dyDescent="0.25">
      <c r="A18" t="s">
        <v>43</v>
      </c>
      <c r="B18" s="3" t="s">
        <v>44</v>
      </c>
      <c r="C18" t="s">
        <v>45</v>
      </c>
      <c r="D18" s="3">
        <v>1</v>
      </c>
      <c r="E18">
        <v>1</v>
      </c>
      <c r="F18" s="3">
        <v>1</v>
      </c>
      <c r="G18">
        <v>0</v>
      </c>
      <c r="H18" s="3">
        <v>0</v>
      </c>
      <c r="I18">
        <v>0</v>
      </c>
      <c r="J18" s="3">
        <v>132</v>
      </c>
      <c r="K18">
        <v>12</v>
      </c>
      <c r="L18" s="3">
        <v>13</v>
      </c>
      <c r="M18">
        <v>20000</v>
      </c>
      <c r="N18" s="3">
        <v>0</v>
      </c>
      <c r="O18">
        <v>20000</v>
      </c>
      <c r="P18" s="3">
        <v>0</v>
      </c>
      <c r="Q18">
        <v>0</v>
      </c>
      <c r="R18">
        <v>132</v>
      </c>
      <c r="S18">
        <v>12</v>
      </c>
      <c r="T18" t="s">
        <v>24</v>
      </c>
      <c r="U18" t="s">
        <v>46</v>
      </c>
      <c r="V18">
        <v>6.6969696969696999</v>
      </c>
      <c r="W18">
        <v>73.6666666666667</v>
      </c>
      <c r="X18" t="s">
        <v>24</v>
      </c>
      <c r="Y18" t="s">
        <v>46</v>
      </c>
      <c r="Z18" t="s">
        <v>47</v>
      </c>
      <c r="AA18" t="s">
        <v>48</v>
      </c>
      <c r="AD18">
        <v>132</v>
      </c>
      <c r="AE18">
        <v>0</v>
      </c>
      <c r="AF18">
        <v>132</v>
      </c>
      <c r="AG18" t="s">
        <v>5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</row>
    <row r="19" spans="1:49" x14ac:dyDescent="0.25">
      <c r="A19" t="s">
        <v>49</v>
      </c>
      <c r="B19" s="3" t="s">
        <v>50</v>
      </c>
      <c r="C19" t="s">
        <v>51</v>
      </c>
      <c r="D19" s="3">
        <v>2</v>
      </c>
      <c r="E19">
        <v>2</v>
      </c>
      <c r="F19" s="3">
        <v>1</v>
      </c>
      <c r="G19">
        <v>872948.26666666695</v>
      </c>
      <c r="H19" s="3">
        <v>0</v>
      </c>
      <c r="I19">
        <v>872948.26666666695</v>
      </c>
      <c r="J19" s="3">
        <v>190.666666666667</v>
      </c>
      <c r="K19">
        <v>17.3333333333333</v>
      </c>
      <c r="L19" s="3">
        <v>19</v>
      </c>
      <c r="M19">
        <v>26000</v>
      </c>
      <c r="N19" s="3">
        <v>0</v>
      </c>
      <c r="O19">
        <v>26000</v>
      </c>
      <c r="P19" s="3">
        <v>0</v>
      </c>
      <c r="Q19">
        <v>0</v>
      </c>
      <c r="R19">
        <v>190.666666666667</v>
      </c>
      <c r="S19">
        <v>17.3333333333333</v>
      </c>
      <c r="T19" t="s">
        <v>52</v>
      </c>
      <c r="U19" t="s">
        <v>4</v>
      </c>
      <c r="V19">
        <v>0</v>
      </c>
      <c r="W19">
        <v>0</v>
      </c>
      <c r="X19" t="s">
        <v>52</v>
      </c>
      <c r="Y19" t="s">
        <v>4</v>
      </c>
      <c r="Z19" t="s">
        <v>52</v>
      </c>
      <c r="AA19" t="s">
        <v>4</v>
      </c>
      <c r="AD19">
        <v>381.33333333333297</v>
      </c>
      <c r="AE19">
        <v>0</v>
      </c>
      <c r="AF19">
        <v>381.33333333333297</v>
      </c>
      <c r="AG19" t="s">
        <v>5</v>
      </c>
      <c r="AI19">
        <v>0</v>
      </c>
      <c r="AJ19">
        <v>20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1500</v>
      </c>
      <c r="AS19">
        <v>0</v>
      </c>
      <c r="AT19">
        <v>270</v>
      </c>
      <c r="AU19">
        <v>0</v>
      </c>
      <c r="AV19">
        <v>0</v>
      </c>
      <c r="AW19">
        <v>0</v>
      </c>
    </row>
    <row r="20" spans="1:49" x14ac:dyDescent="0.25">
      <c r="A20" t="s">
        <v>53</v>
      </c>
      <c r="B20" t="s">
        <v>54</v>
      </c>
      <c r="C20" t="s">
        <v>55</v>
      </c>
      <c r="D20">
        <v>1</v>
      </c>
      <c r="E20">
        <v>1</v>
      </c>
      <c r="F20">
        <v>1</v>
      </c>
      <c r="G20">
        <v>114138.974444444</v>
      </c>
      <c r="H20">
        <v>0</v>
      </c>
      <c r="I20">
        <v>114138.974444444</v>
      </c>
      <c r="J20">
        <v>72.727777777777803</v>
      </c>
      <c r="K20">
        <v>6.6116161616161602</v>
      </c>
      <c r="L20">
        <v>8</v>
      </c>
      <c r="M20">
        <v>24000</v>
      </c>
      <c r="N20">
        <v>0</v>
      </c>
      <c r="O20">
        <v>24000</v>
      </c>
      <c r="P20">
        <v>0</v>
      </c>
      <c r="Q20">
        <v>0</v>
      </c>
      <c r="R20">
        <v>72.727777777777803</v>
      </c>
      <c r="S20">
        <v>6.6116161616161602</v>
      </c>
      <c r="T20" t="s">
        <v>56</v>
      </c>
      <c r="U20" t="s">
        <v>57</v>
      </c>
      <c r="V20">
        <v>0</v>
      </c>
      <c r="W20">
        <v>0</v>
      </c>
      <c r="X20" t="s">
        <v>56</v>
      </c>
      <c r="Y20" t="s">
        <v>57</v>
      </c>
      <c r="Z20" t="s">
        <v>56</v>
      </c>
      <c r="AA20" t="s">
        <v>57</v>
      </c>
      <c r="AD20">
        <v>72.727777777777803</v>
      </c>
      <c r="AE20">
        <v>0</v>
      </c>
      <c r="AF20">
        <v>72.727777777777803</v>
      </c>
      <c r="AG20" t="s">
        <v>5</v>
      </c>
      <c r="AI20">
        <v>0</v>
      </c>
      <c r="AJ20">
        <v>15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1000</v>
      </c>
      <c r="AS20">
        <v>0</v>
      </c>
      <c r="AT20">
        <v>180</v>
      </c>
      <c r="AU20">
        <v>0</v>
      </c>
      <c r="AV20">
        <v>0</v>
      </c>
      <c r="AW20">
        <v>0</v>
      </c>
    </row>
    <row r="21" spans="1:49" x14ac:dyDescent="0.25">
      <c r="A21" t="s">
        <v>58</v>
      </c>
      <c r="B21" t="s">
        <v>59</v>
      </c>
      <c r="C21" t="s">
        <v>60</v>
      </c>
      <c r="D21">
        <v>1</v>
      </c>
      <c r="E21">
        <v>1</v>
      </c>
      <c r="F21">
        <v>1</v>
      </c>
      <c r="G21">
        <v>80066.244999999995</v>
      </c>
      <c r="H21">
        <v>0</v>
      </c>
      <c r="I21">
        <v>80066.244999999995</v>
      </c>
      <c r="J21">
        <v>23.079166666666701</v>
      </c>
      <c r="K21">
        <v>2.0981060606060602</v>
      </c>
      <c r="L21">
        <v>4</v>
      </c>
      <c r="M21">
        <v>24000</v>
      </c>
      <c r="N21">
        <v>0</v>
      </c>
      <c r="O21">
        <v>24000</v>
      </c>
      <c r="P21">
        <v>0</v>
      </c>
      <c r="Q21">
        <v>0</v>
      </c>
      <c r="R21">
        <v>23.079166666666701</v>
      </c>
      <c r="S21">
        <v>2.0981060606060602</v>
      </c>
      <c r="T21" t="s">
        <v>61</v>
      </c>
      <c r="U21" t="s">
        <v>62</v>
      </c>
      <c r="V21">
        <v>0.42366161616161602</v>
      </c>
      <c r="W21">
        <v>4.6602777777777797</v>
      </c>
      <c r="X21" t="s">
        <v>61</v>
      </c>
      <c r="Y21" t="s">
        <v>62</v>
      </c>
      <c r="Z21" t="s">
        <v>63</v>
      </c>
      <c r="AA21" t="s">
        <v>62</v>
      </c>
      <c r="AD21">
        <v>23.079166666666701</v>
      </c>
      <c r="AE21">
        <v>0</v>
      </c>
      <c r="AF21">
        <v>23.079166666666701</v>
      </c>
      <c r="AG21" t="s">
        <v>5</v>
      </c>
      <c r="AI21">
        <v>0</v>
      </c>
      <c r="AJ21">
        <v>20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2500</v>
      </c>
      <c r="AS21">
        <v>0</v>
      </c>
      <c r="AT21">
        <v>450</v>
      </c>
      <c r="AU21">
        <v>0</v>
      </c>
      <c r="AV21">
        <v>0</v>
      </c>
      <c r="AW21">
        <v>0</v>
      </c>
    </row>
    <row r="22" spans="1:49" x14ac:dyDescent="0.25">
      <c r="A22" t="s">
        <v>64</v>
      </c>
      <c r="B22" t="s">
        <v>65</v>
      </c>
      <c r="C22" t="s">
        <v>66</v>
      </c>
      <c r="D22">
        <v>2</v>
      </c>
      <c r="E22">
        <v>2</v>
      </c>
      <c r="F22">
        <v>1</v>
      </c>
      <c r="G22">
        <v>105665.656666667</v>
      </c>
      <c r="H22">
        <v>0</v>
      </c>
      <c r="I22">
        <v>105665.656666667</v>
      </c>
      <c r="J22">
        <v>23.079166666666701</v>
      </c>
      <c r="K22">
        <v>2.0981060606060602</v>
      </c>
      <c r="L22">
        <v>4</v>
      </c>
      <c r="M22">
        <v>24000</v>
      </c>
      <c r="N22">
        <v>0</v>
      </c>
      <c r="O22">
        <v>24000</v>
      </c>
      <c r="P22">
        <v>0</v>
      </c>
      <c r="Q22">
        <v>0</v>
      </c>
      <c r="R22">
        <v>23.079166666666701</v>
      </c>
      <c r="S22">
        <v>2.0981060606060602</v>
      </c>
      <c r="T22" t="s">
        <v>61</v>
      </c>
      <c r="U22" t="s">
        <v>62</v>
      </c>
      <c r="V22">
        <v>0.42366161616161602</v>
      </c>
      <c r="W22">
        <v>4.6602777777777797</v>
      </c>
      <c r="X22" t="s">
        <v>61</v>
      </c>
      <c r="Y22" t="s">
        <v>62</v>
      </c>
      <c r="Z22" t="s">
        <v>63</v>
      </c>
      <c r="AA22" t="s">
        <v>62</v>
      </c>
      <c r="AD22">
        <v>46.158333333333303</v>
      </c>
      <c r="AE22">
        <v>0</v>
      </c>
      <c r="AF22">
        <v>46.158333333333303</v>
      </c>
      <c r="AG22" t="s">
        <v>5</v>
      </c>
      <c r="AI22">
        <v>0</v>
      </c>
      <c r="AJ22">
        <v>20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1500</v>
      </c>
      <c r="AS22">
        <v>0</v>
      </c>
      <c r="AT22">
        <v>270</v>
      </c>
      <c r="AU22">
        <v>0</v>
      </c>
      <c r="AV22">
        <v>0</v>
      </c>
      <c r="AW22">
        <v>0</v>
      </c>
    </row>
    <row r="23" spans="1:49" x14ac:dyDescent="0.25">
      <c r="A23" t="s">
        <v>67</v>
      </c>
      <c r="B23" s="1" t="s">
        <v>68</v>
      </c>
      <c r="C23" t="s">
        <v>69</v>
      </c>
      <c r="D23">
        <v>1</v>
      </c>
      <c r="E23">
        <v>1</v>
      </c>
      <c r="F23">
        <v>1</v>
      </c>
      <c r="G23">
        <v>74681.02</v>
      </c>
      <c r="H23">
        <v>0</v>
      </c>
      <c r="I23">
        <v>74681.02</v>
      </c>
      <c r="J23">
        <v>41.637500000000003</v>
      </c>
      <c r="K23">
        <v>3.78522727272727</v>
      </c>
      <c r="L23">
        <v>5</v>
      </c>
      <c r="M23">
        <v>3003</v>
      </c>
      <c r="N23">
        <v>0</v>
      </c>
      <c r="O23">
        <v>3003</v>
      </c>
      <c r="P23">
        <v>0</v>
      </c>
      <c r="Q23">
        <v>0</v>
      </c>
      <c r="R23">
        <v>41.637500000000003</v>
      </c>
      <c r="S23">
        <v>3.78522727272727</v>
      </c>
      <c r="T23" t="s">
        <v>62</v>
      </c>
      <c r="U23" t="s">
        <v>36</v>
      </c>
      <c r="V23">
        <v>0.49760101010100999</v>
      </c>
      <c r="W23">
        <v>5.4736111111111097</v>
      </c>
      <c r="X23" t="s">
        <v>62</v>
      </c>
      <c r="Y23" t="s">
        <v>36</v>
      </c>
      <c r="Z23" t="s">
        <v>70</v>
      </c>
      <c r="AA23" t="s">
        <v>36</v>
      </c>
      <c r="AD23">
        <v>41.637500000000003</v>
      </c>
      <c r="AE23">
        <v>0</v>
      </c>
      <c r="AF23">
        <v>41.637500000000003</v>
      </c>
      <c r="AG23" t="s">
        <v>5</v>
      </c>
      <c r="AI23">
        <v>0</v>
      </c>
      <c r="AJ23">
        <v>10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1300</v>
      </c>
      <c r="AS23">
        <v>0</v>
      </c>
      <c r="AT23">
        <v>234</v>
      </c>
      <c r="AU23">
        <v>0</v>
      </c>
      <c r="AV23">
        <v>0</v>
      </c>
      <c r="AW23">
        <v>0</v>
      </c>
    </row>
    <row r="24" spans="1:49" x14ac:dyDescent="0.25">
      <c r="A24" t="s">
        <v>71</v>
      </c>
      <c r="B24" t="s">
        <v>72</v>
      </c>
      <c r="C24" t="s">
        <v>73</v>
      </c>
      <c r="D24">
        <v>1</v>
      </c>
      <c r="E24">
        <v>1</v>
      </c>
      <c r="F24">
        <v>1</v>
      </c>
      <c r="G24">
        <v>132333.80416666699</v>
      </c>
      <c r="H24">
        <v>0</v>
      </c>
      <c r="I24">
        <v>132333.80416666699</v>
      </c>
      <c r="J24">
        <v>448.58916666666698</v>
      </c>
      <c r="K24">
        <v>40.780833333333298</v>
      </c>
      <c r="L24">
        <v>41</v>
      </c>
      <c r="M24">
        <v>100</v>
      </c>
      <c r="N24">
        <v>0</v>
      </c>
      <c r="O24">
        <v>100</v>
      </c>
      <c r="P24">
        <v>0</v>
      </c>
      <c r="Q24">
        <v>0</v>
      </c>
      <c r="R24">
        <v>448.58916666666698</v>
      </c>
      <c r="S24">
        <v>40.780833333333298</v>
      </c>
      <c r="T24" t="s">
        <v>3</v>
      </c>
      <c r="U24" t="s">
        <v>36</v>
      </c>
      <c r="V24">
        <v>40.780833333333298</v>
      </c>
      <c r="W24">
        <v>448.58916666666698</v>
      </c>
      <c r="X24" t="s">
        <v>3</v>
      </c>
      <c r="Y24" t="s">
        <v>36</v>
      </c>
      <c r="Z24" t="s">
        <v>36</v>
      </c>
      <c r="AA24" t="s">
        <v>36</v>
      </c>
      <c r="AD24">
        <v>448.58916666666698</v>
      </c>
      <c r="AE24">
        <v>0</v>
      </c>
      <c r="AF24">
        <v>448.58916666666698</v>
      </c>
      <c r="AG24" t="s">
        <v>5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250</v>
      </c>
      <c r="AT24">
        <v>45</v>
      </c>
      <c r="AU24">
        <v>0</v>
      </c>
      <c r="AV24">
        <v>0</v>
      </c>
      <c r="AW24">
        <v>0</v>
      </c>
    </row>
  </sheetData>
  <dataConsolidate link="1"/>
  <mergeCells count="2">
    <mergeCell ref="A1:B1"/>
    <mergeCell ref="A3:B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Label2">
          <controlPr defaultSize="0" autoFill="0" autoLine="0" r:id="rId5">
            <anchor>
              <from>
                <xdr:col>1</xdr:col>
                <xdr:colOff>152400</xdr:colOff>
                <xdr:row>2</xdr:row>
                <xdr:rowOff>9525</xdr:rowOff>
              </from>
              <to>
                <xdr:col>1</xdr:col>
                <xdr:colOff>1143000</xdr:colOff>
                <xdr:row>2</xdr:row>
                <xdr:rowOff>180975</xdr:rowOff>
              </to>
            </anchor>
          </controlPr>
        </control>
      </mc:Choice>
      <mc:Fallback>
        <control shapeId="1031" r:id="rId4" name="Label2"/>
      </mc:Fallback>
    </mc:AlternateContent>
    <mc:AlternateContent xmlns:mc="http://schemas.openxmlformats.org/markup-compatibility/2006">
      <mc:Choice Requires="x14">
        <control shapeId="1030" r:id="rId6" name="Label1">
          <controlPr defaultSize="0" autoFill="0" autoLine="0" r:id="rId7">
            <anchor>
              <from>
                <xdr:col>1</xdr:col>
                <xdr:colOff>161925</xdr:colOff>
                <xdr:row>0</xdr:row>
                <xdr:rowOff>19050</xdr:rowOff>
              </from>
              <to>
                <xdr:col>1</xdr:col>
                <xdr:colOff>1152525</xdr:colOff>
                <xdr:row>1</xdr:row>
                <xdr:rowOff>0</xdr:rowOff>
              </to>
            </anchor>
          </controlPr>
        </control>
      </mc:Choice>
      <mc:Fallback>
        <control shapeId="1030" r:id="rId6" name="Label1"/>
      </mc:Fallback>
    </mc:AlternateContent>
    <mc:AlternateContent xmlns:mc="http://schemas.openxmlformats.org/markup-compatibility/2006">
      <mc:Choice Requires="x14">
        <control shapeId="1028" r:id="rId8" name="TextBox2">
          <controlPr defaultSize="0" autoFill="0" autoLine="0" r:id="rId9">
            <anchor>
              <from>
                <xdr:col>2</xdr:col>
                <xdr:colOff>0</xdr:colOff>
                <xdr:row>2</xdr:row>
                <xdr:rowOff>0</xdr:rowOff>
              </from>
              <to>
                <xdr:col>6</xdr:col>
                <xdr:colOff>381000</xdr:colOff>
                <xdr:row>3</xdr:row>
                <xdr:rowOff>57150</xdr:rowOff>
              </to>
            </anchor>
          </controlPr>
        </control>
      </mc:Choice>
      <mc:Fallback>
        <control shapeId="1028" r:id="rId8" name="TextBox2"/>
      </mc:Fallback>
    </mc:AlternateContent>
    <mc:AlternateContent xmlns:mc="http://schemas.openxmlformats.org/markup-compatibility/2006">
      <mc:Choice Requires="x14">
        <control shapeId="1027" r:id="rId10" name="TextBox1">
          <controlPr defaultSize="0" autoLine="0" r:id="rId11">
            <anchor>
              <from>
                <xdr:col>2</xdr:col>
                <xdr:colOff>0</xdr:colOff>
                <xdr:row>0</xdr:row>
                <xdr:rowOff>19050</xdr:rowOff>
              </from>
              <to>
                <xdr:col>6</xdr:col>
                <xdr:colOff>381000</xdr:colOff>
                <xdr:row>1</xdr:row>
                <xdr:rowOff>76200</xdr:rowOff>
              </to>
            </anchor>
          </controlPr>
        </control>
      </mc:Choice>
      <mc:Fallback>
        <control shapeId="1027" r:id="rId10" name="TextBox1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Demo.DemoGet">
            <anchor>
              <from>
                <xdr:col>6</xdr:col>
                <xdr:colOff>495300</xdr:colOff>
                <xdr:row>0</xdr:row>
                <xdr:rowOff>19050</xdr:rowOff>
              </from>
              <to>
                <xdr:col>9</xdr:col>
                <xdr:colOff>57150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Button 2">
          <controlPr defaultSize="0" print="0" autoFill="0" autoPict="0" macro="[0]!DemoPost">
            <anchor>
              <from>
                <xdr:col>6</xdr:col>
                <xdr:colOff>485775</xdr:colOff>
                <xdr:row>1</xdr:row>
                <xdr:rowOff>152400</xdr:rowOff>
              </from>
              <to>
                <xdr:col>9</xdr:col>
                <xdr:colOff>57150</xdr:colOff>
                <xdr:row>3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Peter</cp:lastModifiedBy>
  <dcterms:created xsi:type="dcterms:W3CDTF">2020-03-22T10:47:06Z</dcterms:created>
  <dcterms:modified xsi:type="dcterms:W3CDTF">2020-09-29T13:34:10Z</dcterms:modified>
</cp:coreProperties>
</file>